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2" windowWidth="19200" windowHeight="11868" activeTab="4"/>
  </bookViews>
  <sheets>
    <sheet name="ambient" sheetId="1" r:id="rId1"/>
    <sheet name="icons.png" sheetId="2" r:id="rId2"/>
    <sheet name="portraits.png" sheetId="3" r:id="rId3"/>
    <sheet name="cursors.png" sheetId="4" r:id="rId4"/>
    <sheet name="圖示" sheetId="5" r:id="rId5"/>
  </sheets>
  <functionGroups/>
  <calcPr calcId="124519"/>
</workbook>
</file>

<file path=xl/calcChain.xml><?xml version="1.0" encoding="utf-8"?>
<calcChain xmlns="http://schemas.openxmlformats.org/spreadsheetml/2006/main">
  <c r="O27" i="5"/>
  <c r="Q28"/>
  <c r="Q10" i="4"/>
  <c r="Q9"/>
  <c r="C2" i="1"/>
  <c r="C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5"/>
  <c r="D5" l="1"/>
  <c r="G5" s="1"/>
  <c r="C3"/>
  <c r="D10" l="1"/>
  <c r="G10" s="1"/>
  <c r="D24"/>
  <c r="G24" s="1"/>
  <c r="D9"/>
  <c r="G9" s="1"/>
  <c r="D6"/>
  <c r="G6" s="1"/>
  <c r="D25"/>
  <c r="G25" s="1"/>
  <c r="D23"/>
  <c r="G23" s="1"/>
  <c r="D8"/>
  <c r="G8" s="1"/>
  <c r="D7"/>
  <c r="G7" s="1"/>
  <c r="D28"/>
  <c r="G28" s="1"/>
  <c r="D11"/>
  <c r="G11" s="1"/>
  <c r="D15"/>
  <c r="G15" s="1"/>
  <c r="D26"/>
  <c r="G26" s="1"/>
  <c r="D27"/>
  <c r="G27" s="1"/>
  <c r="D22"/>
  <c r="G22" s="1"/>
  <c r="D12"/>
  <c r="G12" s="1"/>
  <c r="D13"/>
  <c r="G13" s="1"/>
  <c r="D14"/>
  <c r="G14" s="1"/>
  <c r="D16"/>
  <c r="G16" s="1"/>
  <c r="D17"/>
  <c r="G17" s="1"/>
  <c r="D18"/>
  <c r="G18" s="1"/>
  <c r="D19"/>
  <c r="G19" s="1"/>
  <c r="D20"/>
  <c r="G20" s="1"/>
  <c r="D21"/>
  <c r="G21" s="1"/>
</calcChain>
</file>

<file path=xl/sharedStrings.xml><?xml version="1.0" encoding="utf-8"?>
<sst xmlns="http://schemas.openxmlformats.org/spreadsheetml/2006/main" count="20" uniqueCount="12">
  <si>
    <t>cc</t>
  </si>
  <si>
    <t>ff</t>
  </si>
  <si>
    <t>f0</t>
  </si>
  <si>
    <t>min</t>
    <phoneticPr fontId="1" type="noConversion"/>
  </si>
  <si>
    <t xml:space="preserve">base </t>
    <phoneticPr fontId="1" type="noConversion"/>
  </si>
  <si>
    <t>fac</t>
    <phoneticPr fontId="1" type="noConversion"/>
  </si>
  <si>
    <t>frameWidth</t>
  </si>
  <si>
    <t>frameHeight</t>
    <phoneticPr fontId="1" type="noConversion"/>
  </si>
  <si>
    <t>margin</t>
    <phoneticPr fontId="1" type="noConversion"/>
  </si>
  <si>
    <t>space</t>
    <phoneticPr fontId="1" type="noConversion"/>
  </si>
  <si>
    <t>widh</t>
    <phoneticPr fontId="1" type="noConversion"/>
  </si>
  <si>
    <t>height</t>
    <phoneticPr fontId="1" type="noConversion"/>
  </si>
</sst>
</file>

<file path=xl/styles.xml><?xml version="1.0" encoding="utf-8"?>
<styleSheet xmlns="http://schemas.openxmlformats.org/spreadsheetml/2006/main"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微軟正黑體 Light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480060</xdr:colOff>
      <xdr:row>16</xdr:row>
      <xdr:rowOff>198120</xdr:rowOff>
    </xdr:from>
    <xdr:ext cx="184731" cy="264560"/>
    <xdr:sp macro="" textlink="">
      <xdr:nvSpPr>
        <xdr:cNvPr id="12" name="文字方塊 11"/>
        <xdr:cNvSpPr txBox="1"/>
      </xdr:nvSpPr>
      <xdr:spPr>
        <a:xfrm>
          <a:off x="6576060" y="348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>
    <xdr:from>
      <xdr:col>13</xdr:col>
      <xdr:colOff>274320</xdr:colOff>
      <xdr:row>1</xdr:row>
      <xdr:rowOff>144780</xdr:rowOff>
    </xdr:from>
    <xdr:to>
      <xdr:col>21</xdr:col>
      <xdr:colOff>22860</xdr:colOff>
      <xdr:row>8</xdr:row>
      <xdr:rowOff>175260</xdr:rowOff>
    </xdr:to>
    <xdr:sp macro="" textlink="">
      <xdr:nvSpPr>
        <xdr:cNvPr id="17" name="文字方塊 16"/>
        <xdr:cNvSpPr txBox="1"/>
      </xdr:nvSpPr>
      <xdr:spPr>
        <a:xfrm>
          <a:off x="8199120" y="350520"/>
          <a:ext cx="4625340" cy="1470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- Phaser.Geom.Rectangle(x, y, width, height)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，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x,y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是左上角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</a:t>
          </a:r>
          <a:r>
            <a:rPr 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scene.add.zone(x, y, width, height)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，</a:t>
          </a:r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x,y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是中心點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- 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(x,y) 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是 </a:t>
          </a:r>
          <a:r>
            <a:rPr lang="en-US" altLang="zh-TW" sz="1200" baseline="0">
              <a:latin typeface="微軟正黑體 Light" pitchFamily="34" charset="-120"/>
              <a:ea typeface="微軟正黑體 Light" pitchFamily="34" charset="-120"/>
            </a:rPr>
            <a:t>body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 的左上角</a:t>
          </a:r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- body.center</a:t>
          </a:r>
          <a:r>
            <a:rPr lang="en-US" altLang="zh-TW" sz="1200" baseline="0">
              <a:latin typeface="微軟正黑體 Light" pitchFamily="34" charset="-120"/>
              <a:ea typeface="微軟正黑體 Light" pitchFamily="34" charset="-120"/>
            </a:rPr>
            <a:t> 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才是 </a:t>
          </a:r>
          <a:r>
            <a:rPr lang="en-US" altLang="zh-TW" sz="1200" baseline="0">
              <a:latin typeface="微軟正黑體 Light" pitchFamily="34" charset="-120"/>
              <a:ea typeface="微軟正黑體 Light" pitchFamily="34" charset="-120"/>
            </a:rPr>
            <a:t>body 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的中心點</a:t>
          </a:r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要用 </a:t>
          </a:r>
          <a:r>
            <a:rPr 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body.setOffset()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才能改變 </a:t>
          </a:r>
          <a:r>
            <a:rPr lang="en-US" altLang="zh-TW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body 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的位置</a:t>
          </a:r>
          <a:endParaRPr lang="en-US" sz="1200" b="0">
            <a:solidFill>
              <a:schemeClr val="dk1"/>
            </a:solidFill>
            <a:latin typeface="微軟正黑體 Light" pitchFamily="34" charset="-120"/>
            <a:ea typeface="微軟正黑體 Light" pitchFamily="34" charset="-120"/>
            <a:cs typeface="+mn-cs"/>
          </a:endParaRPr>
        </a:p>
        <a:p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  <a:p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</xdr:txBody>
    </xdr:sp>
    <xdr:clientData/>
  </xdr:twoCellAnchor>
  <xdr:twoCellAnchor>
    <xdr:from>
      <xdr:col>12</xdr:col>
      <xdr:colOff>220980</xdr:colOff>
      <xdr:row>10</xdr:row>
      <xdr:rowOff>175260</xdr:rowOff>
    </xdr:from>
    <xdr:to>
      <xdr:col>16</xdr:col>
      <xdr:colOff>76200</xdr:colOff>
      <xdr:row>15</xdr:row>
      <xdr:rowOff>38100</xdr:rowOff>
    </xdr:to>
    <xdr:sp macro="" textlink="">
      <xdr:nvSpPr>
        <xdr:cNvPr id="30" name="文字方塊 29"/>
        <xdr:cNvSpPr txBox="1"/>
      </xdr:nvSpPr>
      <xdr:spPr>
        <a:xfrm>
          <a:off x="7536180" y="2232660"/>
          <a:ext cx="2293620" cy="89154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container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 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加入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static 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時，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的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(x,y)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對齊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container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的左上角</a:t>
          </a:r>
        </a:p>
      </xdr:txBody>
    </xdr:sp>
    <xdr:clientData/>
  </xdr:twoCellAnchor>
  <xdr:twoCellAnchor>
    <xdr:from>
      <xdr:col>17</xdr:col>
      <xdr:colOff>266700</xdr:colOff>
      <xdr:row>11</xdr:row>
      <xdr:rowOff>7620</xdr:rowOff>
    </xdr:from>
    <xdr:to>
      <xdr:col>21</xdr:col>
      <xdr:colOff>335280</xdr:colOff>
      <xdr:row>15</xdr:row>
      <xdr:rowOff>53340</xdr:rowOff>
    </xdr:to>
    <xdr:sp macro="" textlink="">
      <xdr:nvSpPr>
        <xdr:cNvPr id="31" name="文字方塊 30"/>
        <xdr:cNvSpPr txBox="1"/>
      </xdr:nvSpPr>
      <xdr:spPr>
        <a:xfrm>
          <a:off x="10629900" y="2270760"/>
          <a:ext cx="2506980" cy="868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container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 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加入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dynamic 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時，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(x,y)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對齊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container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的中心點</a:t>
          </a:r>
        </a:p>
      </xdr:txBody>
    </xdr:sp>
    <xdr:clientData/>
  </xdr:twoCellAnchor>
  <xdr:twoCellAnchor>
    <xdr:from>
      <xdr:col>2</xdr:col>
      <xdr:colOff>487680</xdr:colOff>
      <xdr:row>0</xdr:row>
      <xdr:rowOff>91440</xdr:rowOff>
    </xdr:from>
    <xdr:to>
      <xdr:col>7</xdr:col>
      <xdr:colOff>419100</xdr:colOff>
      <xdr:row>13</xdr:row>
      <xdr:rowOff>76200</xdr:rowOff>
    </xdr:to>
    <xdr:grpSp>
      <xdr:nvGrpSpPr>
        <xdr:cNvPr id="53" name="群組 52"/>
        <xdr:cNvGrpSpPr/>
      </xdr:nvGrpSpPr>
      <xdr:grpSpPr>
        <a:xfrm>
          <a:off x="1706880" y="91440"/>
          <a:ext cx="2979420" cy="2659380"/>
          <a:chOff x="1706880" y="91440"/>
          <a:chExt cx="2979420" cy="2659380"/>
        </a:xfrm>
      </xdr:grpSpPr>
      <xdr:cxnSp macro="">
        <xdr:nvCxnSpPr>
          <xdr:cNvPr id="33" name="直線單箭頭接點 32"/>
          <xdr:cNvCxnSpPr/>
        </xdr:nvCxnSpPr>
        <xdr:spPr>
          <a:xfrm>
            <a:off x="1836420" y="213360"/>
            <a:ext cx="243078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單箭頭接點 34"/>
          <xdr:cNvCxnSpPr/>
        </xdr:nvCxnSpPr>
        <xdr:spPr>
          <a:xfrm rot="5400000">
            <a:off x="792480" y="1257300"/>
            <a:ext cx="208788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" name="文字方塊 35"/>
          <xdr:cNvSpPr txBox="1"/>
        </xdr:nvSpPr>
        <xdr:spPr>
          <a:xfrm>
            <a:off x="4404360" y="91440"/>
            <a:ext cx="281940" cy="32766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X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  <xdr:sp macro="" textlink="">
        <xdr:nvSpPr>
          <xdr:cNvPr id="37" name="文字方塊 36"/>
          <xdr:cNvSpPr txBox="1"/>
        </xdr:nvSpPr>
        <xdr:spPr>
          <a:xfrm>
            <a:off x="1706880" y="2430780"/>
            <a:ext cx="281940" cy="32004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Y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  <xdr:sp macro="" textlink="">
        <xdr:nvSpPr>
          <xdr:cNvPr id="38" name="文字方塊 37"/>
          <xdr:cNvSpPr txBox="1"/>
        </xdr:nvSpPr>
        <xdr:spPr>
          <a:xfrm>
            <a:off x="1920240" y="274320"/>
            <a:ext cx="495300" cy="32766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(0,0)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</xdr:grpSp>
    <xdr:clientData/>
  </xdr:twoCellAnchor>
  <xdr:twoCellAnchor>
    <xdr:from>
      <xdr:col>4</xdr:col>
      <xdr:colOff>60960</xdr:colOff>
      <xdr:row>4</xdr:row>
      <xdr:rowOff>175260</xdr:rowOff>
    </xdr:from>
    <xdr:to>
      <xdr:col>11</xdr:col>
      <xdr:colOff>518160</xdr:colOff>
      <xdr:row>21</xdr:row>
      <xdr:rowOff>22860</xdr:rowOff>
    </xdr:to>
    <xdr:grpSp>
      <xdr:nvGrpSpPr>
        <xdr:cNvPr id="59" name="群組 58"/>
        <xdr:cNvGrpSpPr/>
      </xdr:nvGrpSpPr>
      <xdr:grpSpPr>
        <a:xfrm>
          <a:off x="2499360" y="998220"/>
          <a:ext cx="4724400" cy="3345180"/>
          <a:chOff x="2499360" y="807720"/>
          <a:chExt cx="4724400" cy="3345180"/>
        </a:xfrm>
      </xdr:grpSpPr>
      <xdr:sp macro="" textlink="">
        <xdr:nvSpPr>
          <xdr:cNvPr id="10" name="文字方塊 9"/>
          <xdr:cNvSpPr txBox="1"/>
        </xdr:nvSpPr>
        <xdr:spPr>
          <a:xfrm>
            <a:off x="4602480" y="1973580"/>
            <a:ext cx="464820" cy="33528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(0,0)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  <xdr:grpSp>
        <xdr:nvGrpSpPr>
          <xdr:cNvPr id="52" name="群組 51"/>
          <xdr:cNvGrpSpPr/>
        </xdr:nvGrpSpPr>
        <xdr:grpSpPr>
          <a:xfrm>
            <a:off x="2499360" y="807720"/>
            <a:ext cx="4724400" cy="3345180"/>
            <a:chOff x="2506980" y="784860"/>
            <a:chExt cx="4724400" cy="3345180"/>
          </a:xfrm>
        </xdr:grpSpPr>
        <xdr:sp macro="" textlink="">
          <xdr:nvSpPr>
            <xdr:cNvPr id="5" name="流程圖: 接點 4"/>
            <xdr:cNvSpPr/>
          </xdr:nvSpPr>
          <xdr:spPr>
            <a:xfrm flipH="1">
              <a:off x="5989320" y="1348740"/>
              <a:ext cx="228600" cy="228600"/>
            </a:xfrm>
            <a:prstGeom prst="flowChartConnector">
              <a:avLst/>
            </a:prstGeom>
            <a:solidFill>
              <a:srgbClr val="FFC000"/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14" name="文字方塊 13"/>
            <xdr:cNvSpPr txBox="1"/>
          </xdr:nvSpPr>
          <xdr:spPr>
            <a:xfrm>
              <a:off x="6362700" y="3749040"/>
              <a:ext cx="845820" cy="3124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altLang="zh-TW" sz="1200">
                  <a:latin typeface="微軟正黑體 Light" pitchFamily="34" charset="-120"/>
                  <a:ea typeface="微軟正黑體 Light" pitchFamily="34" charset="-120"/>
                </a:rPr>
                <a:t>(w/2,h/2)</a:t>
              </a:r>
              <a:endParaRPr lang="zh-TW" altLang="en-US" sz="1200">
                <a:latin typeface="微軟正黑體 Light" pitchFamily="34" charset="-120"/>
                <a:ea typeface="微軟正黑體 Light" pitchFamily="34" charset="-120"/>
              </a:endParaRPr>
            </a:p>
          </xdr:txBody>
        </xdr:sp>
        <xdr:sp macro="" textlink="">
          <xdr:nvSpPr>
            <xdr:cNvPr id="15" name="文字方塊 14"/>
            <xdr:cNvSpPr txBox="1"/>
          </xdr:nvSpPr>
          <xdr:spPr>
            <a:xfrm>
              <a:off x="2506980" y="3764280"/>
              <a:ext cx="906780" cy="36576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altLang="zh-TW" sz="1200">
                  <a:latin typeface="微軟正黑體 Light" pitchFamily="34" charset="-120"/>
                  <a:ea typeface="微軟正黑體 Light" pitchFamily="34" charset="-120"/>
                </a:rPr>
                <a:t>(-w/2,h/2)</a:t>
              </a:r>
              <a:endParaRPr lang="zh-TW" altLang="en-US" sz="1200">
                <a:latin typeface="微軟正黑體 Light" pitchFamily="34" charset="-120"/>
                <a:ea typeface="微軟正黑體 Light" pitchFamily="34" charset="-120"/>
              </a:endParaRPr>
            </a:p>
          </xdr:txBody>
        </xdr:sp>
        <xdr:cxnSp macro="">
          <xdr:nvCxnSpPr>
            <xdr:cNvPr id="20" name="直線單箭頭接點 19"/>
            <xdr:cNvCxnSpPr/>
          </xdr:nvCxnSpPr>
          <xdr:spPr>
            <a:xfrm>
              <a:off x="3657600" y="3703320"/>
              <a:ext cx="2438400" cy="1588"/>
            </a:xfrm>
            <a:prstGeom prst="straightConnector1">
              <a:avLst/>
            </a:prstGeom>
            <a:ln>
              <a:headEnd type="arrow"/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" name="直線單箭頭接點 21"/>
            <xdr:cNvCxnSpPr/>
          </xdr:nvCxnSpPr>
          <xdr:spPr>
            <a:xfrm rot="5400000">
              <a:off x="2350770" y="2449830"/>
              <a:ext cx="2065020" cy="1588"/>
            </a:xfrm>
            <a:prstGeom prst="straightConnector1">
              <a:avLst/>
            </a:prstGeom>
            <a:ln>
              <a:headEnd type="arrow"/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" name="文字方塊 22"/>
            <xdr:cNvSpPr txBox="1"/>
          </xdr:nvSpPr>
          <xdr:spPr>
            <a:xfrm>
              <a:off x="4724400" y="3520440"/>
              <a:ext cx="281940" cy="3581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200">
                  <a:latin typeface="微軟正黑體 Light" pitchFamily="34" charset="-120"/>
                  <a:ea typeface="微軟正黑體 Light" pitchFamily="34" charset="-120"/>
                </a:rPr>
                <a:t>w</a:t>
              </a:r>
              <a:endParaRPr lang="zh-TW" altLang="en-US" sz="110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24" name="文字方塊 23"/>
            <xdr:cNvSpPr txBox="1"/>
          </xdr:nvSpPr>
          <xdr:spPr>
            <a:xfrm>
              <a:off x="3230880" y="2247900"/>
              <a:ext cx="281940" cy="3733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altLang="zh-TW" sz="1200">
                  <a:latin typeface="微軟正黑體 Light" pitchFamily="34" charset="-120"/>
                  <a:ea typeface="微軟正黑體 Light" pitchFamily="34" charset="-120"/>
                </a:rPr>
                <a:t>h</a:t>
              </a:r>
              <a:endParaRPr lang="zh-TW" altLang="en-US" sz="1200">
                <a:latin typeface="微軟正黑體 Light" pitchFamily="34" charset="-120"/>
                <a:ea typeface="微軟正黑體 Light" pitchFamily="34" charset="-120"/>
              </a:endParaRPr>
            </a:p>
          </xdr:txBody>
        </xdr:sp>
        <xdr:sp macro="" textlink="">
          <xdr:nvSpPr>
            <xdr:cNvPr id="41" name="流程圖: 接點 40"/>
            <xdr:cNvSpPr/>
          </xdr:nvSpPr>
          <xdr:spPr>
            <a:xfrm flipH="1">
              <a:off x="4762500" y="2346960"/>
              <a:ext cx="228600" cy="228600"/>
            </a:xfrm>
            <a:prstGeom prst="flowChartConnector">
              <a:avLst/>
            </a:prstGeom>
            <a:solidFill>
              <a:srgbClr val="FFC000"/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2" name="流程圖: 接點 41"/>
            <xdr:cNvSpPr/>
          </xdr:nvSpPr>
          <xdr:spPr>
            <a:xfrm flipH="1">
              <a:off x="3535680" y="1341120"/>
              <a:ext cx="228600" cy="228600"/>
            </a:xfrm>
            <a:prstGeom prst="flowChartConnector">
              <a:avLst/>
            </a:prstGeom>
            <a:solidFill>
              <a:srgbClr val="FFC000"/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3" name="流程圖: 接點 42"/>
            <xdr:cNvSpPr/>
          </xdr:nvSpPr>
          <xdr:spPr>
            <a:xfrm flipH="1">
              <a:off x="5958840" y="3337560"/>
              <a:ext cx="228600" cy="228600"/>
            </a:xfrm>
            <a:prstGeom prst="flowChartConnector">
              <a:avLst/>
            </a:prstGeom>
            <a:solidFill>
              <a:srgbClr val="FFC000"/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4" name="流程圖: 接點 43"/>
            <xdr:cNvSpPr/>
          </xdr:nvSpPr>
          <xdr:spPr>
            <a:xfrm flipH="1">
              <a:off x="3535680" y="3337560"/>
              <a:ext cx="228600" cy="228600"/>
            </a:xfrm>
            <a:prstGeom prst="flowChartConnector">
              <a:avLst/>
            </a:prstGeom>
            <a:solidFill>
              <a:srgbClr val="FFC000"/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9" name="文字方塊 8"/>
            <xdr:cNvSpPr txBox="1"/>
          </xdr:nvSpPr>
          <xdr:spPr>
            <a:xfrm>
              <a:off x="6347460" y="861060"/>
              <a:ext cx="883920" cy="3505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>
                  <a:solidFill>
                    <a:schemeClr val="dk1"/>
                  </a:solidFill>
                  <a:latin typeface="微軟正黑體 Light" pitchFamily="34" charset="-120"/>
                  <a:ea typeface="微軟正黑體 Light" pitchFamily="34" charset="-120"/>
                  <a:cs typeface="+mn-cs"/>
                </a:rPr>
                <a:t>(w/2,-h/2)</a:t>
              </a:r>
              <a:endParaRPr lang="zh-TW" altLang="en-US" sz="1200">
                <a:solidFill>
                  <a:schemeClr val="dk1"/>
                </a:solidFill>
                <a:latin typeface="微軟正黑體 Light" pitchFamily="34" charset="-120"/>
                <a:ea typeface="微軟正黑體 Light" pitchFamily="34" charset="-120"/>
                <a:cs typeface="+mn-cs"/>
              </a:endParaRPr>
            </a:p>
            <a:p>
              <a:endParaRPr lang="zh-TW" altLang="en-US" sz="1100"/>
            </a:p>
          </xdr:txBody>
        </xdr:sp>
        <xdr:sp macro="" textlink="">
          <xdr:nvSpPr>
            <xdr:cNvPr id="8" name="文字方塊 7"/>
            <xdr:cNvSpPr txBox="1"/>
          </xdr:nvSpPr>
          <xdr:spPr>
            <a:xfrm>
              <a:off x="2567940" y="784860"/>
              <a:ext cx="952500" cy="36576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altLang="zh-TW" sz="1200">
                  <a:latin typeface="微軟正黑體 Light" pitchFamily="34" charset="-120"/>
                  <a:ea typeface="微軟正黑體 Light" pitchFamily="34" charset="-120"/>
                </a:rPr>
                <a:t>(-w/2,-h/2)</a:t>
              </a:r>
              <a:endParaRPr lang="zh-TW" altLang="en-US" sz="1200">
                <a:latin typeface="微軟正黑體 Light" pitchFamily="34" charset="-120"/>
                <a:ea typeface="微軟正黑體 Light" pitchFamily="34" charset="-120"/>
              </a:endParaRPr>
            </a:p>
          </xdr:txBody>
        </xdr:sp>
        <xdr:sp macro="" textlink="">
          <xdr:nvSpPr>
            <xdr:cNvPr id="18" name="文字方塊 17"/>
            <xdr:cNvSpPr txBox="1"/>
          </xdr:nvSpPr>
          <xdr:spPr>
            <a:xfrm>
              <a:off x="3741420" y="822960"/>
              <a:ext cx="2346960" cy="3581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altLang="zh-TW" sz="1200">
                  <a:latin typeface="微軟正黑體 Light" pitchFamily="34" charset="-120"/>
                  <a:ea typeface="微軟正黑體 Light" pitchFamily="34" charset="-120"/>
                </a:rPr>
                <a:t>Container </a:t>
              </a:r>
              <a:r>
                <a:rPr lang="zh-TW" altLang="en-US" sz="1200">
                  <a:latin typeface="微軟正黑體 Light" pitchFamily="34" charset="-120"/>
                  <a:ea typeface="微軟正黑體 Light" pitchFamily="34" charset="-120"/>
                </a:rPr>
                <a:t>的 </a:t>
              </a:r>
              <a:r>
                <a:rPr lang="en-US" altLang="zh-TW" sz="1200">
                  <a:latin typeface="微軟正黑體 Light" pitchFamily="34" charset="-120"/>
                  <a:ea typeface="微軟正黑體 Light" pitchFamily="34" charset="-120"/>
                </a:rPr>
                <a:t>anchor </a:t>
              </a:r>
              <a:r>
                <a:rPr lang="zh-TW" altLang="en-US" sz="1200">
                  <a:latin typeface="微軟正黑體 Light" pitchFamily="34" charset="-120"/>
                  <a:ea typeface="微軟正黑體 Light" pitchFamily="34" charset="-120"/>
                </a:rPr>
                <a:t>示意圖</a:t>
              </a:r>
            </a:p>
          </xdr:txBody>
        </xdr:sp>
        <xdr:sp macro="" textlink="">
          <xdr:nvSpPr>
            <xdr:cNvPr id="2" name="矩形 1"/>
            <xdr:cNvSpPr/>
          </xdr:nvSpPr>
          <xdr:spPr>
            <a:xfrm>
              <a:off x="3657600" y="1447800"/>
              <a:ext cx="2446020" cy="2019300"/>
            </a:xfrm>
            <a:prstGeom prst="rect">
              <a:avLst/>
            </a:prstGeom>
            <a:noFill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</xdr:grpSp>
    <xdr:clientData/>
  </xdr:twoCellAnchor>
  <xdr:twoCellAnchor>
    <xdr:from>
      <xdr:col>12</xdr:col>
      <xdr:colOff>563880</xdr:colOff>
      <xdr:row>15</xdr:row>
      <xdr:rowOff>198120</xdr:rowOff>
    </xdr:from>
    <xdr:to>
      <xdr:col>15</xdr:col>
      <xdr:colOff>0</xdr:colOff>
      <xdr:row>22</xdr:row>
      <xdr:rowOff>15240</xdr:rowOff>
    </xdr:to>
    <xdr:grpSp>
      <xdr:nvGrpSpPr>
        <xdr:cNvPr id="57" name="群組 56"/>
        <xdr:cNvGrpSpPr/>
      </xdr:nvGrpSpPr>
      <xdr:grpSpPr>
        <a:xfrm>
          <a:off x="7879080" y="3284220"/>
          <a:ext cx="1264920" cy="1257300"/>
          <a:chOff x="7917180" y="3307080"/>
          <a:chExt cx="1264920" cy="1257300"/>
        </a:xfrm>
      </xdr:grpSpPr>
      <xdr:sp macro="" textlink="">
        <xdr:nvSpPr>
          <xdr:cNvPr id="45" name="流程圖: 接點 44"/>
          <xdr:cNvSpPr/>
        </xdr:nvSpPr>
        <xdr:spPr>
          <a:xfrm flipH="1">
            <a:off x="8412480" y="3794760"/>
            <a:ext cx="228600" cy="228600"/>
          </a:xfrm>
          <a:prstGeom prst="flowChartConnector">
            <a:avLst/>
          </a:prstGeom>
          <a:solidFill>
            <a:srgbClr val="FFC000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5" name="矩形 24"/>
          <xdr:cNvSpPr/>
        </xdr:nvSpPr>
        <xdr:spPr>
          <a:xfrm>
            <a:off x="7955280" y="3337560"/>
            <a:ext cx="1226820" cy="1226820"/>
          </a:xfrm>
          <a:prstGeom prst="rect">
            <a:avLst/>
          </a:prstGeom>
          <a:noFill/>
          <a:ln w="38100">
            <a:solidFill>
              <a:srgbClr val="FFC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47" name="矩形 46"/>
          <xdr:cNvSpPr/>
        </xdr:nvSpPr>
        <xdr:spPr>
          <a:xfrm>
            <a:off x="7955280" y="3345180"/>
            <a:ext cx="426720" cy="411480"/>
          </a:xfrm>
          <a:prstGeom prst="rect">
            <a:avLst/>
          </a:prstGeom>
          <a:noFill/>
          <a:ln>
            <a:solidFill>
              <a:srgbClr val="0070C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34" name="流程圖: 接點 33"/>
          <xdr:cNvSpPr/>
        </xdr:nvSpPr>
        <xdr:spPr>
          <a:xfrm flipH="1">
            <a:off x="7917180" y="3307080"/>
            <a:ext cx="99060" cy="99060"/>
          </a:xfrm>
          <a:prstGeom prst="flowChartConnector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</xdr:grpSp>
    <xdr:clientData/>
  </xdr:twoCellAnchor>
  <xdr:twoCellAnchor>
    <xdr:from>
      <xdr:col>18</xdr:col>
      <xdr:colOff>259080</xdr:colOff>
      <xdr:row>15</xdr:row>
      <xdr:rowOff>152400</xdr:rowOff>
    </xdr:from>
    <xdr:to>
      <xdr:col>20</xdr:col>
      <xdr:colOff>274320</xdr:colOff>
      <xdr:row>21</xdr:row>
      <xdr:rowOff>144780</xdr:rowOff>
    </xdr:to>
    <xdr:grpSp>
      <xdr:nvGrpSpPr>
        <xdr:cNvPr id="58" name="群組 57"/>
        <xdr:cNvGrpSpPr/>
      </xdr:nvGrpSpPr>
      <xdr:grpSpPr>
        <a:xfrm>
          <a:off x="11231880" y="3238500"/>
          <a:ext cx="1234440" cy="1226820"/>
          <a:chOff x="10347960" y="3307080"/>
          <a:chExt cx="1234440" cy="1226820"/>
        </a:xfrm>
      </xdr:grpSpPr>
      <xdr:sp macro="" textlink="">
        <xdr:nvSpPr>
          <xdr:cNvPr id="26" name="矩形 25"/>
          <xdr:cNvSpPr/>
        </xdr:nvSpPr>
        <xdr:spPr>
          <a:xfrm>
            <a:off x="10347960" y="3307080"/>
            <a:ext cx="1234440" cy="1226820"/>
          </a:xfrm>
          <a:prstGeom prst="rect">
            <a:avLst/>
          </a:prstGeom>
          <a:noFill/>
          <a:ln w="3810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46" name="流程圖: 接點 45"/>
          <xdr:cNvSpPr/>
        </xdr:nvSpPr>
        <xdr:spPr>
          <a:xfrm flipH="1">
            <a:off x="10873740" y="3794760"/>
            <a:ext cx="228600" cy="228600"/>
          </a:xfrm>
          <a:prstGeom prst="flowChartConnector">
            <a:avLst/>
          </a:prstGeom>
          <a:solidFill>
            <a:srgbClr val="FFC000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48" name="矩形 47"/>
          <xdr:cNvSpPr/>
        </xdr:nvSpPr>
        <xdr:spPr>
          <a:xfrm>
            <a:off x="10988040" y="3909060"/>
            <a:ext cx="426720" cy="411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39" name="流程圖: 接點 38"/>
          <xdr:cNvSpPr/>
        </xdr:nvSpPr>
        <xdr:spPr>
          <a:xfrm flipH="1">
            <a:off x="10957560" y="3870960"/>
            <a:ext cx="99060" cy="99060"/>
          </a:xfrm>
          <a:prstGeom prst="flowChartConnector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8"/>
  <sheetViews>
    <sheetView topLeftCell="A4" workbookViewId="0">
      <selection activeCell="I27" sqref="I27"/>
    </sheetView>
  </sheetViews>
  <sheetFormatPr defaultRowHeight="16.2"/>
  <cols>
    <col min="1" max="1" width="9.33203125" customWidth="1"/>
    <col min="2" max="2" width="11.5546875" customWidth="1"/>
    <col min="4" max="4" width="12.109375" customWidth="1"/>
  </cols>
  <sheetData>
    <row r="1" spans="1:7">
      <c r="A1" t="s">
        <v>3</v>
      </c>
      <c r="B1">
        <v>33</v>
      </c>
      <c r="C1">
        <f>HEX2DEC(B1)</f>
        <v>51</v>
      </c>
    </row>
    <row r="2" spans="1:7">
      <c r="A2" t="s">
        <v>4</v>
      </c>
      <c r="B2">
        <v>70</v>
      </c>
      <c r="C2">
        <f>HEX2DEC(B2)</f>
        <v>112</v>
      </c>
    </row>
    <row r="3" spans="1:7">
      <c r="A3" t="s">
        <v>5</v>
      </c>
      <c r="C3">
        <f>(255-C2)/(255-C1)</f>
        <v>0.7009803921568627</v>
      </c>
    </row>
    <row r="5" spans="1:7">
      <c r="A5">
        <v>33</v>
      </c>
      <c r="B5">
        <f t="shared" ref="B5:B28" si="0">HEX2DEC(A5)</f>
        <v>51</v>
      </c>
      <c r="D5">
        <f>ROUND($C$2+(B5-$C$1)*$C$3,0)</f>
        <v>112</v>
      </c>
      <c r="G5" t="str">
        <f>DEC2HEX(D5)</f>
        <v>70</v>
      </c>
    </row>
    <row r="6" spans="1:7">
      <c r="A6">
        <v>33</v>
      </c>
      <c r="B6">
        <f t="shared" si="0"/>
        <v>51</v>
      </c>
      <c r="D6">
        <f t="shared" ref="D6:D28" si="1">ROUND($C$2+(B6-$C$1)*$C$3,0)</f>
        <v>112</v>
      </c>
      <c r="G6" t="str">
        <f t="shared" ref="G6:G28" si="2">DEC2HEX(D6)</f>
        <v>70</v>
      </c>
    </row>
    <row r="7" spans="1:7">
      <c r="A7">
        <v>33</v>
      </c>
      <c r="B7">
        <f t="shared" si="0"/>
        <v>51</v>
      </c>
      <c r="D7">
        <f t="shared" si="1"/>
        <v>112</v>
      </c>
      <c r="G7" t="str">
        <f t="shared" si="2"/>
        <v>70</v>
      </c>
    </row>
    <row r="8" spans="1:7">
      <c r="A8">
        <v>33</v>
      </c>
      <c r="B8">
        <f t="shared" si="0"/>
        <v>51</v>
      </c>
      <c r="D8">
        <f t="shared" si="1"/>
        <v>112</v>
      </c>
      <c r="G8" t="str">
        <f t="shared" si="2"/>
        <v>70</v>
      </c>
    </row>
    <row r="9" spans="1:7">
      <c r="A9">
        <v>66</v>
      </c>
      <c r="B9">
        <f t="shared" si="0"/>
        <v>102</v>
      </c>
      <c r="D9">
        <f t="shared" si="1"/>
        <v>148</v>
      </c>
      <c r="G9" t="str">
        <f t="shared" si="2"/>
        <v>94</v>
      </c>
    </row>
    <row r="10" spans="1:7">
      <c r="A10">
        <v>99</v>
      </c>
      <c r="B10">
        <f t="shared" si="0"/>
        <v>153</v>
      </c>
      <c r="D10">
        <f t="shared" si="1"/>
        <v>184</v>
      </c>
      <c r="G10" t="str">
        <f t="shared" si="2"/>
        <v>B8</v>
      </c>
    </row>
    <row r="11" spans="1:7">
      <c r="A11" t="s">
        <v>0</v>
      </c>
      <c r="B11">
        <f t="shared" si="0"/>
        <v>204</v>
      </c>
      <c r="D11">
        <f t="shared" si="1"/>
        <v>219</v>
      </c>
      <c r="G11" t="str">
        <f t="shared" si="2"/>
        <v>DB</v>
      </c>
    </row>
    <row r="12" spans="1:7">
      <c r="A12" t="s">
        <v>1</v>
      </c>
      <c r="B12">
        <f t="shared" si="0"/>
        <v>255</v>
      </c>
      <c r="D12">
        <f t="shared" si="1"/>
        <v>255</v>
      </c>
      <c r="G12" t="str">
        <f t="shared" si="2"/>
        <v>FF</v>
      </c>
    </row>
    <row r="13" spans="1:7">
      <c r="A13" t="s">
        <v>1</v>
      </c>
      <c r="B13">
        <f t="shared" si="0"/>
        <v>255</v>
      </c>
      <c r="D13">
        <f t="shared" si="1"/>
        <v>255</v>
      </c>
      <c r="G13" t="str">
        <f t="shared" si="2"/>
        <v>FF</v>
      </c>
    </row>
    <row r="14" spans="1:7">
      <c r="A14" t="s">
        <v>1</v>
      </c>
      <c r="B14">
        <f t="shared" si="0"/>
        <v>255</v>
      </c>
      <c r="D14">
        <f t="shared" si="1"/>
        <v>255</v>
      </c>
      <c r="G14" t="str">
        <f t="shared" si="2"/>
        <v>FF</v>
      </c>
    </row>
    <row r="15" spans="1:7">
      <c r="A15" t="s">
        <v>1</v>
      </c>
      <c r="B15">
        <f t="shared" si="0"/>
        <v>255</v>
      </c>
      <c r="D15">
        <f t="shared" si="1"/>
        <v>255</v>
      </c>
      <c r="G15" t="str">
        <f t="shared" si="2"/>
        <v>FF</v>
      </c>
    </row>
    <row r="16" spans="1:7">
      <c r="A16" t="s">
        <v>1</v>
      </c>
      <c r="B16">
        <f t="shared" si="0"/>
        <v>255</v>
      </c>
      <c r="D16">
        <f t="shared" si="1"/>
        <v>255</v>
      </c>
      <c r="G16" t="str">
        <f t="shared" si="2"/>
        <v>FF</v>
      </c>
    </row>
    <row r="17" spans="1:7">
      <c r="A17" t="s">
        <v>1</v>
      </c>
      <c r="B17">
        <f t="shared" si="0"/>
        <v>255</v>
      </c>
      <c r="D17">
        <f t="shared" si="1"/>
        <v>255</v>
      </c>
      <c r="G17" t="str">
        <f t="shared" si="2"/>
        <v>FF</v>
      </c>
    </row>
    <row r="18" spans="1:7">
      <c r="A18" t="s">
        <v>1</v>
      </c>
      <c r="B18">
        <f t="shared" si="0"/>
        <v>255</v>
      </c>
      <c r="D18">
        <f t="shared" si="1"/>
        <v>255</v>
      </c>
      <c r="G18" t="str">
        <f t="shared" si="2"/>
        <v>FF</v>
      </c>
    </row>
    <row r="19" spans="1:7">
      <c r="A19" t="s">
        <v>1</v>
      </c>
      <c r="B19">
        <f t="shared" si="0"/>
        <v>255</v>
      </c>
      <c r="D19">
        <f t="shared" si="1"/>
        <v>255</v>
      </c>
      <c r="G19" t="str">
        <f t="shared" si="2"/>
        <v>FF</v>
      </c>
    </row>
    <row r="20" spans="1:7">
      <c r="A20" t="s">
        <v>2</v>
      </c>
      <c r="B20">
        <f t="shared" si="0"/>
        <v>240</v>
      </c>
      <c r="D20">
        <f t="shared" si="1"/>
        <v>244</v>
      </c>
      <c r="G20" t="str">
        <f t="shared" si="2"/>
        <v>F4</v>
      </c>
    </row>
    <row r="21" spans="1:7">
      <c r="A21" t="s">
        <v>0</v>
      </c>
      <c r="B21">
        <f t="shared" si="0"/>
        <v>204</v>
      </c>
      <c r="D21">
        <f t="shared" si="1"/>
        <v>219</v>
      </c>
      <c r="G21" t="str">
        <f t="shared" si="2"/>
        <v>DB</v>
      </c>
    </row>
    <row r="22" spans="1:7">
      <c r="A22">
        <v>99</v>
      </c>
      <c r="B22">
        <f t="shared" si="0"/>
        <v>153</v>
      </c>
      <c r="D22">
        <f t="shared" si="1"/>
        <v>184</v>
      </c>
      <c r="G22" t="str">
        <f t="shared" si="2"/>
        <v>B8</v>
      </c>
    </row>
    <row r="23" spans="1:7">
      <c r="A23">
        <v>66</v>
      </c>
      <c r="B23">
        <f t="shared" si="0"/>
        <v>102</v>
      </c>
      <c r="D23">
        <f t="shared" si="1"/>
        <v>148</v>
      </c>
      <c r="G23" t="str">
        <f t="shared" si="2"/>
        <v>94</v>
      </c>
    </row>
    <row r="24" spans="1:7">
      <c r="A24">
        <v>33</v>
      </c>
      <c r="B24">
        <f t="shared" si="0"/>
        <v>51</v>
      </c>
      <c r="D24">
        <f t="shared" si="1"/>
        <v>112</v>
      </c>
      <c r="G24" t="str">
        <f t="shared" si="2"/>
        <v>70</v>
      </c>
    </row>
    <row r="25" spans="1:7">
      <c r="A25">
        <v>33</v>
      </c>
      <c r="B25">
        <f t="shared" si="0"/>
        <v>51</v>
      </c>
      <c r="D25">
        <f t="shared" si="1"/>
        <v>112</v>
      </c>
      <c r="G25" t="str">
        <f t="shared" si="2"/>
        <v>70</v>
      </c>
    </row>
    <row r="26" spans="1:7">
      <c r="A26">
        <v>33</v>
      </c>
      <c r="B26">
        <f t="shared" si="0"/>
        <v>51</v>
      </c>
      <c r="D26">
        <f t="shared" si="1"/>
        <v>112</v>
      </c>
      <c r="G26" t="str">
        <f t="shared" si="2"/>
        <v>70</v>
      </c>
    </row>
    <row r="27" spans="1:7">
      <c r="A27">
        <v>33</v>
      </c>
      <c r="B27">
        <f t="shared" si="0"/>
        <v>51</v>
      </c>
      <c r="D27">
        <f t="shared" si="1"/>
        <v>112</v>
      </c>
      <c r="G27" t="str">
        <f t="shared" si="2"/>
        <v>70</v>
      </c>
    </row>
    <row r="28" spans="1:7">
      <c r="A28">
        <v>33</v>
      </c>
      <c r="B28">
        <f t="shared" si="0"/>
        <v>51</v>
      </c>
      <c r="D28">
        <f t="shared" si="1"/>
        <v>112</v>
      </c>
      <c r="G28" t="str">
        <f t="shared" si="2"/>
        <v>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3"/>
  <sheetViews>
    <sheetView workbookViewId="0">
      <selection activeCell="E28" sqref="E28"/>
    </sheetView>
  </sheetViews>
  <sheetFormatPr defaultRowHeight="16.2"/>
  <sheetData>
    <row r="1" spans="1:16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>
      <c r="A2">
        <v>16</v>
      </c>
      <c r="B2">
        <v>17</v>
      </c>
      <c r="C2">
        <v>18</v>
      </c>
      <c r="D2">
        <v>19</v>
      </c>
      <c r="E2">
        <v>20</v>
      </c>
      <c r="F2">
        <v>21</v>
      </c>
      <c r="G2">
        <v>22</v>
      </c>
      <c r="H2">
        <v>23</v>
      </c>
      <c r="I2">
        <v>24</v>
      </c>
      <c r="J2">
        <v>25</v>
      </c>
      <c r="K2">
        <v>26</v>
      </c>
      <c r="L2">
        <v>27</v>
      </c>
      <c r="M2">
        <v>28</v>
      </c>
      <c r="N2">
        <v>29</v>
      </c>
      <c r="O2">
        <v>30</v>
      </c>
      <c r="P2">
        <v>31</v>
      </c>
    </row>
    <row r="3" spans="1:16">
      <c r="A3">
        <v>32</v>
      </c>
      <c r="B3">
        <v>33</v>
      </c>
      <c r="C3">
        <v>34</v>
      </c>
      <c r="D3">
        <v>35</v>
      </c>
      <c r="E3">
        <v>36</v>
      </c>
      <c r="F3">
        <v>37</v>
      </c>
      <c r="G3">
        <v>38</v>
      </c>
      <c r="H3">
        <v>39</v>
      </c>
      <c r="I3">
        <v>40</v>
      </c>
      <c r="J3">
        <v>41</v>
      </c>
      <c r="K3">
        <v>42</v>
      </c>
      <c r="L3">
        <v>43</v>
      </c>
      <c r="M3">
        <v>44</v>
      </c>
      <c r="N3">
        <v>45</v>
      </c>
      <c r="O3">
        <v>46</v>
      </c>
      <c r="P3">
        <v>47</v>
      </c>
    </row>
    <row r="4" spans="1:16">
      <c r="A4">
        <v>48</v>
      </c>
      <c r="B4">
        <v>49</v>
      </c>
      <c r="C4">
        <v>50</v>
      </c>
      <c r="D4">
        <v>51</v>
      </c>
      <c r="E4">
        <v>52</v>
      </c>
      <c r="F4">
        <v>53</v>
      </c>
      <c r="G4">
        <v>54</v>
      </c>
      <c r="H4">
        <v>55</v>
      </c>
      <c r="I4">
        <v>56</v>
      </c>
      <c r="J4">
        <v>57</v>
      </c>
      <c r="K4">
        <v>58</v>
      </c>
      <c r="L4">
        <v>59</v>
      </c>
      <c r="M4">
        <v>60</v>
      </c>
      <c r="N4">
        <v>61</v>
      </c>
      <c r="O4">
        <v>62</v>
      </c>
      <c r="P4">
        <v>63</v>
      </c>
    </row>
    <row r="5" spans="1:16">
      <c r="A5">
        <v>64</v>
      </c>
      <c r="B5">
        <v>65</v>
      </c>
      <c r="C5">
        <v>66</v>
      </c>
      <c r="D5">
        <v>67</v>
      </c>
      <c r="E5">
        <v>68</v>
      </c>
      <c r="F5">
        <v>69</v>
      </c>
      <c r="G5">
        <v>70</v>
      </c>
      <c r="H5">
        <v>71</v>
      </c>
      <c r="I5">
        <v>72</v>
      </c>
      <c r="J5">
        <v>73</v>
      </c>
      <c r="K5">
        <v>74</v>
      </c>
      <c r="L5">
        <v>75</v>
      </c>
      <c r="M5">
        <v>76</v>
      </c>
      <c r="N5">
        <v>77</v>
      </c>
      <c r="O5">
        <v>78</v>
      </c>
      <c r="P5">
        <v>79</v>
      </c>
    </row>
    <row r="6" spans="1:16">
      <c r="A6">
        <v>80</v>
      </c>
      <c r="B6">
        <v>81</v>
      </c>
      <c r="C6">
        <v>82</v>
      </c>
      <c r="D6">
        <v>83</v>
      </c>
      <c r="E6">
        <v>84</v>
      </c>
      <c r="F6">
        <v>85</v>
      </c>
      <c r="G6">
        <v>86</v>
      </c>
      <c r="H6">
        <v>87</v>
      </c>
      <c r="I6">
        <v>88</v>
      </c>
      <c r="J6">
        <v>89</v>
      </c>
      <c r="K6">
        <v>90</v>
      </c>
      <c r="L6">
        <v>91</v>
      </c>
      <c r="M6">
        <v>92</v>
      </c>
      <c r="N6">
        <v>93</v>
      </c>
      <c r="O6">
        <v>94</v>
      </c>
      <c r="P6">
        <v>95</v>
      </c>
    </row>
    <row r="7" spans="1:16">
      <c r="A7">
        <v>96</v>
      </c>
      <c r="B7">
        <v>97</v>
      </c>
      <c r="C7">
        <v>98</v>
      </c>
      <c r="D7">
        <v>99</v>
      </c>
      <c r="E7">
        <v>100</v>
      </c>
      <c r="F7">
        <v>101</v>
      </c>
      <c r="G7">
        <v>102</v>
      </c>
      <c r="H7">
        <v>103</v>
      </c>
      <c r="I7">
        <v>104</v>
      </c>
      <c r="J7">
        <v>105</v>
      </c>
      <c r="K7">
        <v>106</v>
      </c>
      <c r="L7">
        <v>107</v>
      </c>
      <c r="M7">
        <v>108</v>
      </c>
      <c r="N7">
        <v>109</v>
      </c>
      <c r="O7">
        <v>110</v>
      </c>
      <c r="P7">
        <v>111</v>
      </c>
    </row>
    <row r="8" spans="1:16">
      <c r="A8">
        <v>112</v>
      </c>
      <c r="B8">
        <v>113</v>
      </c>
      <c r="C8">
        <v>114</v>
      </c>
      <c r="D8">
        <v>115</v>
      </c>
      <c r="E8">
        <v>116</v>
      </c>
      <c r="F8">
        <v>117</v>
      </c>
      <c r="G8">
        <v>118</v>
      </c>
      <c r="H8">
        <v>119</v>
      </c>
      <c r="I8">
        <v>120</v>
      </c>
      <c r="J8">
        <v>121</v>
      </c>
      <c r="K8">
        <v>122</v>
      </c>
      <c r="L8">
        <v>123</v>
      </c>
      <c r="M8">
        <v>124</v>
      </c>
      <c r="N8">
        <v>125</v>
      </c>
      <c r="O8">
        <v>126</v>
      </c>
      <c r="P8">
        <v>127</v>
      </c>
    </row>
    <row r="9" spans="1:16">
      <c r="A9">
        <v>128</v>
      </c>
      <c r="B9">
        <v>129</v>
      </c>
      <c r="C9">
        <v>130</v>
      </c>
      <c r="D9">
        <v>131</v>
      </c>
      <c r="E9">
        <v>132</v>
      </c>
      <c r="F9">
        <v>133</v>
      </c>
      <c r="G9">
        <v>134</v>
      </c>
      <c r="H9">
        <v>135</v>
      </c>
      <c r="I9">
        <v>136</v>
      </c>
      <c r="J9">
        <v>137</v>
      </c>
      <c r="K9">
        <v>138</v>
      </c>
      <c r="L9">
        <v>139</v>
      </c>
      <c r="M9">
        <v>140</v>
      </c>
      <c r="N9">
        <v>141</v>
      </c>
      <c r="O9">
        <v>142</v>
      </c>
      <c r="P9">
        <v>143</v>
      </c>
    </row>
    <row r="10" spans="1:16">
      <c r="A10">
        <v>144</v>
      </c>
      <c r="B10">
        <v>145</v>
      </c>
      <c r="C10">
        <v>146</v>
      </c>
      <c r="D10">
        <v>147</v>
      </c>
      <c r="E10">
        <v>148</v>
      </c>
      <c r="F10">
        <v>149</v>
      </c>
      <c r="G10">
        <v>150</v>
      </c>
      <c r="H10">
        <v>151</v>
      </c>
      <c r="I10">
        <v>152</v>
      </c>
      <c r="J10">
        <v>153</v>
      </c>
      <c r="K10">
        <v>154</v>
      </c>
      <c r="L10">
        <v>155</v>
      </c>
      <c r="M10">
        <v>156</v>
      </c>
      <c r="N10">
        <v>157</v>
      </c>
      <c r="O10">
        <v>158</v>
      </c>
      <c r="P10">
        <v>159</v>
      </c>
    </row>
    <row r="11" spans="1:16">
      <c r="A11">
        <v>160</v>
      </c>
      <c r="B11">
        <v>161</v>
      </c>
      <c r="C11">
        <v>162</v>
      </c>
      <c r="D11">
        <v>163</v>
      </c>
      <c r="E11">
        <v>164</v>
      </c>
      <c r="F11">
        <v>165</v>
      </c>
      <c r="G11">
        <v>166</v>
      </c>
      <c r="H11">
        <v>167</v>
      </c>
      <c r="I11">
        <v>168</v>
      </c>
      <c r="J11">
        <v>169</v>
      </c>
      <c r="K11">
        <v>170</v>
      </c>
      <c r="L11">
        <v>171</v>
      </c>
      <c r="M11">
        <v>172</v>
      </c>
      <c r="N11">
        <v>173</v>
      </c>
      <c r="O11">
        <v>174</v>
      </c>
      <c r="P11">
        <v>175</v>
      </c>
    </row>
    <row r="12" spans="1:16">
      <c r="A12">
        <v>176</v>
      </c>
      <c r="B12">
        <v>177</v>
      </c>
      <c r="C12">
        <v>178</v>
      </c>
      <c r="D12">
        <v>179</v>
      </c>
      <c r="E12">
        <v>180</v>
      </c>
      <c r="F12">
        <v>181</v>
      </c>
      <c r="G12">
        <v>182</v>
      </c>
      <c r="H12">
        <v>183</v>
      </c>
      <c r="I12">
        <v>184</v>
      </c>
      <c r="J12">
        <v>185</v>
      </c>
      <c r="K12">
        <v>186</v>
      </c>
      <c r="L12">
        <v>187</v>
      </c>
      <c r="M12">
        <v>188</v>
      </c>
      <c r="N12">
        <v>189</v>
      </c>
      <c r="O12">
        <v>190</v>
      </c>
      <c r="P12">
        <v>191</v>
      </c>
    </row>
    <row r="13" spans="1:16">
      <c r="A13">
        <v>192</v>
      </c>
      <c r="B13">
        <v>193</v>
      </c>
      <c r="C13">
        <v>194</v>
      </c>
      <c r="D13">
        <v>195</v>
      </c>
      <c r="E13">
        <v>196</v>
      </c>
      <c r="F13">
        <v>197</v>
      </c>
      <c r="G13">
        <v>198</v>
      </c>
      <c r="H13">
        <v>199</v>
      </c>
      <c r="I13">
        <v>200</v>
      </c>
      <c r="J13">
        <v>201</v>
      </c>
      <c r="K13">
        <v>202</v>
      </c>
      <c r="L13">
        <v>203</v>
      </c>
      <c r="M13">
        <v>204</v>
      </c>
      <c r="N13">
        <v>205</v>
      </c>
      <c r="O13">
        <v>206</v>
      </c>
      <c r="P13">
        <v>207</v>
      </c>
    </row>
    <row r="14" spans="1:16">
      <c r="A14">
        <v>208</v>
      </c>
      <c r="B14">
        <v>209</v>
      </c>
      <c r="C14">
        <v>210</v>
      </c>
      <c r="D14">
        <v>211</v>
      </c>
      <c r="E14">
        <v>212</v>
      </c>
      <c r="F14">
        <v>213</v>
      </c>
      <c r="G14">
        <v>214</v>
      </c>
      <c r="H14">
        <v>215</v>
      </c>
      <c r="I14">
        <v>216</v>
      </c>
      <c r="J14">
        <v>217</v>
      </c>
      <c r="K14">
        <v>218</v>
      </c>
      <c r="L14">
        <v>219</v>
      </c>
      <c r="M14">
        <v>220</v>
      </c>
      <c r="N14">
        <v>221</v>
      </c>
      <c r="O14">
        <v>222</v>
      </c>
      <c r="P14">
        <v>223</v>
      </c>
    </row>
    <row r="15" spans="1:16">
      <c r="A15">
        <v>224</v>
      </c>
      <c r="B15">
        <v>225</v>
      </c>
      <c r="C15">
        <v>226</v>
      </c>
      <c r="D15">
        <v>227</v>
      </c>
      <c r="E15">
        <v>228</v>
      </c>
      <c r="F15">
        <v>229</v>
      </c>
      <c r="G15">
        <v>230</v>
      </c>
      <c r="H15">
        <v>231</v>
      </c>
      <c r="I15">
        <v>232</v>
      </c>
      <c r="J15">
        <v>233</v>
      </c>
      <c r="K15">
        <v>234</v>
      </c>
      <c r="L15">
        <v>235</v>
      </c>
      <c r="M15">
        <v>236</v>
      </c>
      <c r="N15">
        <v>237</v>
      </c>
      <c r="O15">
        <v>238</v>
      </c>
      <c r="P15">
        <v>239</v>
      </c>
    </row>
    <row r="16" spans="1:16">
      <c r="A16">
        <v>240</v>
      </c>
      <c r="B16">
        <v>241</v>
      </c>
      <c r="C16">
        <v>242</v>
      </c>
      <c r="D16">
        <v>243</v>
      </c>
      <c r="E16">
        <v>244</v>
      </c>
      <c r="F16">
        <v>245</v>
      </c>
      <c r="G16">
        <v>246</v>
      </c>
      <c r="H16">
        <v>247</v>
      </c>
      <c r="I16">
        <v>248</v>
      </c>
      <c r="J16">
        <v>249</v>
      </c>
      <c r="K16">
        <v>250</v>
      </c>
      <c r="L16">
        <v>251</v>
      </c>
      <c r="M16">
        <v>252</v>
      </c>
      <c r="N16">
        <v>253</v>
      </c>
      <c r="O16">
        <v>254</v>
      </c>
      <c r="P16">
        <v>255</v>
      </c>
    </row>
    <row r="17" spans="1:16">
      <c r="A17">
        <v>256</v>
      </c>
      <c r="B17">
        <v>257</v>
      </c>
      <c r="C17">
        <v>258</v>
      </c>
      <c r="D17">
        <v>259</v>
      </c>
      <c r="E17">
        <v>260</v>
      </c>
      <c r="F17">
        <v>261</v>
      </c>
      <c r="G17">
        <v>262</v>
      </c>
      <c r="H17">
        <v>263</v>
      </c>
      <c r="I17">
        <v>264</v>
      </c>
      <c r="J17">
        <v>265</v>
      </c>
      <c r="K17">
        <v>266</v>
      </c>
      <c r="L17">
        <v>267</v>
      </c>
      <c r="M17">
        <v>268</v>
      </c>
      <c r="N17">
        <v>269</v>
      </c>
      <c r="O17">
        <v>270</v>
      </c>
      <c r="P17">
        <v>271</v>
      </c>
    </row>
    <row r="18" spans="1:16">
      <c r="A18">
        <v>272</v>
      </c>
      <c r="B18">
        <v>273</v>
      </c>
      <c r="C18">
        <v>274</v>
      </c>
      <c r="D18">
        <v>275</v>
      </c>
      <c r="E18">
        <v>276</v>
      </c>
      <c r="F18">
        <v>277</v>
      </c>
      <c r="G18">
        <v>278</v>
      </c>
      <c r="H18">
        <v>279</v>
      </c>
      <c r="I18">
        <v>280</v>
      </c>
      <c r="J18">
        <v>281</v>
      </c>
      <c r="K18">
        <v>282</v>
      </c>
      <c r="L18">
        <v>283</v>
      </c>
      <c r="M18">
        <v>284</v>
      </c>
      <c r="N18">
        <v>285</v>
      </c>
      <c r="O18">
        <v>286</v>
      </c>
      <c r="P18">
        <v>287</v>
      </c>
    </row>
    <row r="19" spans="1:16">
      <c r="A19">
        <v>288</v>
      </c>
      <c r="B19">
        <v>289</v>
      </c>
      <c r="C19">
        <v>290</v>
      </c>
      <c r="D19">
        <v>291</v>
      </c>
      <c r="E19">
        <v>292</v>
      </c>
      <c r="F19">
        <v>293</v>
      </c>
      <c r="G19">
        <v>294</v>
      </c>
      <c r="H19">
        <v>295</v>
      </c>
      <c r="I19">
        <v>296</v>
      </c>
      <c r="J19">
        <v>297</v>
      </c>
      <c r="K19">
        <v>298</v>
      </c>
      <c r="L19">
        <v>299</v>
      </c>
      <c r="M19">
        <v>300</v>
      </c>
      <c r="N19">
        <v>301</v>
      </c>
      <c r="O19">
        <v>302</v>
      </c>
      <c r="P19">
        <v>303</v>
      </c>
    </row>
    <row r="20" spans="1:16">
      <c r="A20">
        <v>304</v>
      </c>
      <c r="B20">
        <v>305</v>
      </c>
      <c r="C20">
        <v>306</v>
      </c>
      <c r="D20">
        <v>307</v>
      </c>
      <c r="E20">
        <v>308</v>
      </c>
      <c r="F20">
        <v>309</v>
      </c>
      <c r="G20">
        <v>310</v>
      </c>
      <c r="H20">
        <v>311</v>
      </c>
      <c r="I20">
        <v>312</v>
      </c>
      <c r="J20">
        <v>313</v>
      </c>
      <c r="K20">
        <v>314</v>
      </c>
      <c r="L20">
        <v>315</v>
      </c>
      <c r="M20">
        <v>316</v>
      </c>
      <c r="N20">
        <v>317</v>
      </c>
      <c r="O20">
        <v>318</v>
      </c>
      <c r="P20">
        <v>319</v>
      </c>
    </row>
    <row r="21" spans="1:16">
      <c r="A21">
        <v>320</v>
      </c>
      <c r="B21">
        <v>321</v>
      </c>
      <c r="C21">
        <v>322</v>
      </c>
      <c r="D21">
        <v>323</v>
      </c>
      <c r="E21">
        <v>324</v>
      </c>
      <c r="F21">
        <v>325</v>
      </c>
      <c r="G21">
        <v>326</v>
      </c>
      <c r="H21">
        <v>327</v>
      </c>
      <c r="I21">
        <v>328</v>
      </c>
      <c r="J21">
        <v>329</v>
      </c>
      <c r="K21">
        <v>330</v>
      </c>
      <c r="L21">
        <v>331</v>
      </c>
      <c r="M21">
        <v>332</v>
      </c>
      <c r="N21">
        <v>333</v>
      </c>
      <c r="O21">
        <v>334</v>
      </c>
      <c r="P21">
        <v>335</v>
      </c>
    </row>
    <row r="22" spans="1:16">
      <c r="A22">
        <v>336</v>
      </c>
      <c r="B22">
        <v>337</v>
      </c>
      <c r="C22">
        <v>338</v>
      </c>
      <c r="D22">
        <v>339</v>
      </c>
      <c r="E22">
        <v>340</v>
      </c>
      <c r="F22">
        <v>341</v>
      </c>
      <c r="G22">
        <v>342</v>
      </c>
      <c r="H22">
        <v>343</v>
      </c>
      <c r="I22">
        <v>344</v>
      </c>
      <c r="J22">
        <v>345</v>
      </c>
      <c r="K22">
        <v>346</v>
      </c>
      <c r="L22">
        <v>347</v>
      </c>
      <c r="M22">
        <v>348</v>
      </c>
      <c r="N22">
        <v>349</v>
      </c>
      <c r="O22">
        <v>350</v>
      </c>
      <c r="P22">
        <v>351</v>
      </c>
    </row>
    <row r="23" spans="1:16">
      <c r="A23" s="1">
        <v>1</v>
      </c>
      <c r="B23" s="1">
        <v>2</v>
      </c>
      <c r="C23" s="1">
        <v>3</v>
      </c>
      <c r="D23" s="1">
        <v>4</v>
      </c>
      <c r="E23" s="1">
        <v>5</v>
      </c>
      <c r="F23" s="1">
        <v>6</v>
      </c>
      <c r="G23" s="1">
        <v>7</v>
      </c>
      <c r="H23" s="1">
        <v>8</v>
      </c>
      <c r="I23" s="1">
        <v>9</v>
      </c>
      <c r="J23" s="1">
        <v>10</v>
      </c>
      <c r="K23" s="1">
        <v>11</v>
      </c>
      <c r="L23" s="1">
        <v>12</v>
      </c>
      <c r="M23" s="1">
        <v>13</v>
      </c>
      <c r="N23" s="1">
        <v>14</v>
      </c>
      <c r="O23" s="1">
        <v>15</v>
      </c>
      <c r="P23" s="1">
        <v>16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0"/>
  <sheetViews>
    <sheetView workbookViewId="0">
      <selection activeCell="I13" sqref="I13"/>
    </sheetView>
  </sheetViews>
  <sheetFormatPr defaultRowHeight="16.2"/>
  <sheetData>
    <row r="1" spans="1:5">
      <c r="A1">
        <v>0</v>
      </c>
      <c r="B1">
        <v>1</v>
      </c>
      <c r="C1">
        <v>2</v>
      </c>
      <c r="D1">
        <v>3</v>
      </c>
      <c r="E1">
        <v>4</v>
      </c>
    </row>
    <row r="2" spans="1:5">
      <c r="A2">
        <v>5</v>
      </c>
      <c r="B2">
        <v>6</v>
      </c>
      <c r="C2">
        <v>7</v>
      </c>
      <c r="D2">
        <v>8</v>
      </c>
      <c r="E2">
        <v>9</v>
      </c>
    </row>
    <row r="3" spans="1:5">
      <c r="A3">
        <v>10</v>
      </c>
      <c r="B3">
        <v>11</v>
      </c>
      <c r="C3">
        <v>12</v>
      </c>
      <c r="D3">
        <v>13</v>
      </c>
      <c r="E3">
        <v>14</v>
      </c>
    </row>
    <row r="4" spans="1:5">
      <c r="A4">
        <v>15</v>
      </c>
      <c r="B4">
        <v>16</v>
      </c>
      <c r="C4">
        <v>17</v>
      </c>
      <c r="D4">
        <v>18</v>
      </c>
      <c r="E4">
        <v>19</v>
      </c>
    </row>
    <row r="5" spans="1:5">
      <c r="A5">
        <v>20</v>
      </c>
      <c r="B5">
        <v>21</v>
      </c>
      <c r="C5">
        <v>22</v>
      </c>
      <c r="D5">
        <v>23</v>
      </c>
      <c r="E5">
        <v>24</v>
      </c>
    </row>
    <row r="6" spans="1:5">
      <c r="A6">
        <v>25</v>
      </c>
      <c r="B6">
        <v>26</v>
      </c>
      <c r="C6">
        <v>27</v>
      </c>
      <c r="D6">
        <v>28</v>
      </c>
      <c r="E6">
        <v>29</v>
      </c>
    </row>
    <row r="7" spans="1:5">
      <c r="A7">
        <v>30</v>
      </c>
      <c r="B7">
        <v>31</v>
      </c>
      <c r="C7">
        <v>32</v>
      </c>
      <c r="D7">
        <v>33</v>
      </c>
      <c r="E7">
        <v>34</v>
      </c>
    </row>
    <row r="8" spans="1:5">
      <c r="A8">
        <v>35</v>
      </c>
      <c r="B8">
        <v>36</v>
      </c>
      <c r="C8">
        <v>37</v>
      </c>
      <c r="D8">
        <v>38</v>
      </c>
      <c r="E8">
        <v>39</v>
      </c>
    </row>
    <row r="9" spans="1:5">
      <c r="A9">
        <v>40</v>
      </c>
      <c r="B9">
        <v>41</v>
      </c>
      <c r="C9">
        <v>42</v>
      </c>
      <c r="D9">
        <v>43</v>
      </c>
      <c r="E9">
        <v>44</v>
      </c>
    </row>
    <row r="10" spans="1:5">
      <c r="A10">
        <v>45</v>
      </c>
      <c r="B10">
        <v>46</v>
      </c>
      <c r="C10">
        <v>47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Q14"/>
  <sheetViews>
    <sheetView workbookViewId="0">
      <selection activeCell="D20" sqref="D20"/>
    </sheetView>
  </sheetViews>
  <sheetFormatPr defaultRowHeight="16.2"/>
  <cols>
    <col min="6" max="7" width="8.88671875" customWidth="1"/>
    <col min="16" max="16" width="13.33203125" customWidth="1"/>
  </cols>
  <sheetData>
    <row r="1" spans="1:17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7">
      <c r="A2">
        <v>14</v>
      </c>
      <c r="B2">
        <v>15</v>
      </c>
      <c r="C2">
        <v>16</v>
      </c>
      <c r="D2">
        <v>17</v>
      </c>
      <c r="E2">
        <v>18</v>
      </c>
      <c r="F2">
        <v>19</v>
      </c>
      <c r="G2">
        <v>20</v>
      </c>
      <c r="H2">
        <v>21</v>
      </c>
      <c r="I2">
        <v>22</v>
      </c>
      <c r="J2">
        <v>23</v>
      </c>
      <c r="K2">
        <v>24</v>
      </c>
      <c r="L2">
        <v>25</v>
      </c>
      <c r="M2">
        <v>26</v>
      </c>
      <c r="N2">
        <v>27</v>
      </c>
    </row>
    <row r="3" spans="1:17">
      <c r="A3">
        <v>28</v>
      </c>
      <c r="B3">
        <v>29</v>
      </c>
      <c r="C3">
        <v>30</v>
      </c>
      <c r="D3">
        <v>31</v>
      </c>
      <c r="E3">
        <v>32</v>
      </c>
      <c r="F3">
        <v>33</v>
      </c>
      <c r="G3">
        <v>34</v>
      </c>
      <c r="H3">
        <v>35</v>
      </c>
      <c r="I3">
        <v>36</v>
      </c>
      <c r="J3">
        <v>37</v>
      </c>
      <c r="K3">
        <v>38</v>
      </c>
      <c r="L3">
        <v>39</v>
      </c>
      <c r="M3">
        <v>40</v>
      </c>
      <c r="N3">
        <v>41</v>
      </c>
    </row>
    <row r="4" spans="1:17">
      <c r="A4">
        <v>42</v>
      </c>
      <c r="B4">
        <v>43</v>
      </c>
      <c r="C4">
        <v>44</v>
      </c>
      <c r="D4">
        <v>45</v>
      </c>
      <c r="E4">
        <v>46</v>
      </c>
      <c r="F4">
        <v>47</v>
      </c>
      <c r="G4">
        <v>48</v>
      </c>
      <c r="H4">
        <v>49</v>
      </c>
      <c r="I4">
        <v>50</v>
      </c>
      <c r="J4">
        <v>51</v>
      </c>
      <c r="K4">
        <v>52</v>
      </c>
      <c r="L4">
        <v>53</v>
      </c>
      <c r="M4">
        <v>54</v>
      </c>
      <c r="N4">
        <v>55</v>
      </c>
    </row>
    <row r="5" spans="1:17">
      <c r="A5">
        <v>56</v>
      </c>
      <c r="B5">
        <v>57</v>
      </c>
      <c r="C5">
        <v>58</v>
      </c>
      <c r="D5">
        <v>59</v>
      </c>
      <c r="E5">
        <v>60</v>
      </c>
      <c r="F5">
        <v>61</v>
      </c>
      <c r="G5">
        <v>62</v>
      </c>
      <c r="H5">
        <v>63</v>
      </c>
      <c r="I5">
        <v>64</v>
      </c>
      <c r="J5">
        <v>65</v>
      </c>
      <c r="K5">
        <v>66</v>
      </c>
      <c r="L5">
        <v>67</v>
      </c>
      <c r="M5">
        <v>68</v>
      </c>
      <c r="N5">
        <v>69</v>
      </c>
    </row>
    <row r="6" spans="1:17">
      <c r="A6">
        <v>70</v>
      </c>
      <c r="B6">
        <v>71</v>
      </c>
      <c r="C6">
        <v>72</v>
      </c>
      <c r="D6">
        <v>73</v>
      </c>
      <c r="E6">
        <v>74</v>
      </c>
      <c r="F6">
        <v>75</v>
      </c>
      <c r="G6">
        <v>76</v>
      </c>
      <c r="H6">
        <v>77</v>
      </c>
      <c r="I6">
        <v>78</v>
      </c>
      <c r="J6">
        <v>79</v>
      </c>
      <c r="K6">
        <v>80</v>
      </c>
      <c r="L6">
        <v>81</v>
      </c>
      <c r="M6">
        <v>82</v>
      </c>
      <c r="N6">
        <v>83</v>
      </c>
      <c r="P6" t="s">
        <v>10</v>
      </c>
      <c r="Q6">
        <v>463</v>
      </c>
    </row>
    <row r="7" spans="1:17">
      <c r="A7">
        <v>84</v>
      </c>
      <c r="B7">
        <v>85</v>
      </c>
      <c r="C7">
        <v>86</v>
      </c>
      <c r="D7">
        <v>87</v>
      </c>
      <c r="E7">
        <v>88</v>
      </c>
      <c r="F7">
        <v>89</v>
      </c>
      <c r="G7">
        <v>90</v>
      </c>
      <c r="H7">
        <v>91</v>
      </c>
      <c r="I7">
        <v>92</v>
      </c>
      <c r="J7">
        <v>93</v>
      </c>
      <c r="K7">
        <v>94</v>
      </c>
      <c r="L7">
        <v>95</v>
      </c>
      <c r="M7">
        <v>96</v>
      </c>
      <c r="N7">
        <v>97</v>
      </c>
      <c r="P7" t="s">
        <v>11</v>
      </c>
      <c r="Q7">
        <v>430</v>
      </c>
    </row>
    <row r="8" spans="1:17">
      <c r="A8">
        <v>98</v>
      </c>
      <c r="B8">
        <v>99</v>
      </c>
      <c r="C8">
        <v>100</v>
      </c>
      <c r="D8">
        <v>101</v>
      </c>
      <c r="E8">
        <v>102</v>
      </c>
      <c r="F8">
        <v>103</v>
      </c>
      <c r="G8">
        <v>104</v>
      </c>
      <c r="H8">
        <v>105</v>
      </c>
      <c r="I8">
        <v>106</v>
      </c>
      <c r="J8">
        <v>107</v>
      </c>
      <c r="K8">
        <v>108</v>
      </c>
      <c r="L8">
        <v>109</v>
      </c>
      <c r="M8">
        <v>110</v>
      </c>
      <c r="N8">
        <v>111</v>
      </c>
    </row>
    <row r="9" spans="1:17">
      <c r="A9">
        <v>112</v>
      </c>
      <c r="B9">
        <v>113</v>
      </c>
      <c r="C9">
        <v>114</v>
      </c>
      <c r="D9">
        <v>115</v>
      </c>
      <c r="E9">
        <v>116</v>
      </c>
      <c r="F9">
        <v>117</v>
      </c>
      <c r="G9">
        <v>118</v>
      </c>
      <c r="H9">
        <v>119</v>
      </c>
      <c r="I9">
        <v>120</v>
      </c>
      <c r="J9">
        <v>121</v>
      </c>
      <c r="K9">
        <v>122</v>
      </c>
      <c r="L9">
        <v>123</v>
      </c>
      <c r="M9">
        <v>124</v>
      </c>
      <c r="N9">
        <v>125</v>
      </c>
      <c r="P9" t="s">
        <v>6</v>
      </c>
      <c r="Q9">
        <f>(Q6-Q11)/14</f>
        <v>33</v>
      </c>
    </row>
    <row r="10" spans="1:17">
      <c r="A10">
        <v>126</v>
      </c>
      <c r="B10">
        <v>127</v>
      </c>
      <c r="C10">
        <v>128</v>
      </c>
      <c r="D10">
        <v>129</v>
      </c>
      <c r="E10">
        <v>130</v>
      </c>
      <c r="F10">
        <v>131</v>
      </c>
      <c r="G10">
        <v>132</v>
      </c>
      <c r="H10">
        <v>133</v>
      </c>
      <c r="I10">
        <v>134</v>
      </c>
      <c r="J10">
        <v>135</v>
      </c>
      <c r="K10">
        <v>136</v>
      </c>
      <c r="L10">
        <v>137</v>
      </c>
      <c r="M10">
        <v>138</v>
      </c>
      <c r="N10">
        <v>139</v>
      </c>
      <c r="P10" t="s">
        <v>7</v>
      </c>
      <c r="Q10">
        <f>(Q7-Q11)/13</f>
        <v>33</v>
      </c>
    </row>
    <row r="11" spans="1:17">
      <c r="A11">
        <v>140</v>
      </c>
      <c r="B11">
        <v>141</v>
      </c>
      <c r="C11">
        <v>142</v>
      </c>
      <c r="D11">
        <v>143</v>
      </c>
      <c r="E11">
        <v>144</v>
      </c>
      <c r="F11">
        <v>145</v>
      </c>
      <c r="G11">
        <v>146</v>
      </c>
      <c r="H11">
        <v>147</v>
      </c>
      <c r="I11">
        <v>148</v>
      </c>
      <c r="J11">
        <v>149</v>
      </c>
      <c r="K11">
        <v>150</v>
      </c>
      <c r="L11">
        <v>151</v>
      </c>
      <c r="M11">
        <v>152</v>
      </c>
      <c r="N11">
        <v>153</v>
      </c>
      <c r="P11" t="s">
        <v>8</v>
      </c>
      <c r="Q11">
        <v>1</v>
      </c>
    </row>
    <row r="12" spans="1:17">
      <c r="A12">
        <v>154</v>
      </c>
      <c r="B12">
        <v>155</v>
      </c>
      <c r="C12">
        <v>156</v>
      </c>
      <c r="D12">
        <v>157</v>
      </c>
      <c r="E12">
        <v>158</v>
      </c>
      <c r="F12">
        <v>159</v>
      </c>
      <c r="G12">
        <v>160</v>
      </c>
      <c r="H12">
        <v>161</v>
      </c>
      <c r="I12">
        <v>162</v>
      </c>
      <c r="J12">
        <v>163</v>
      </c>
      <c r="K12">
        <v>164</v>
      </c>
      <c r="L12">
        <v>165</v>
      </c>
      <c r="M12">
        <v>166</v>
      </c>
      <c r="N12">
        <v>167</v>
      </c>
      <c r="P12" t="s">
        <v>9</v>
      </c>
      <c r="Q12">
        <v>0</v>
      </c>
    </row>
    <row r="13" spans="1:17">
      <c r="A13">
        <v>168</v>
      </c>
      <c r="B13">
        <v>169</v>
      </c>
      <c r="C13">
        <v>170</v>
      </c>
      <c r="D13">
        <v>171</v>
      </c>
      <c r="E13">
        <v>172</v>
      </c>
      <c r="F13">
        <v>173</v>
      </c>
      <c r="G13">
        <v>174</v>
      </c>
      <c r="H13">
        <v>175</v>
      </c>
      <c r="I13">
        <v>176</v>
      </c>
      <c r="J13">
        <v>177</v>
      </c>
      <c r="K13">
        <v>178</v>
      </c>
      <c r="L13">
        <v>179</v>
      </c>
      <c r="M13">
        <v>180</v>
      </c>
      <c r="N13">
        <v>181</v>
      </c>
    </row>
    <row r="14" spans="1:17">
      <c r="A14" s="1">
        <v>1</v>
      </c>
      <c r="B14" s="1">
        <v>2</v>
      </c>
      <c r="C14" s="1">
        <v>3</v>
      </c>
      <c r="D14" s="1">
        <v>4</v>
      </c>
      <c r="E14" s="1">
        <v>5</v>
      </c>
      <c r="F14" s="1">
        <v>6</v>
      </c>
      <c r="G14" s="1">
        <v>7</v>
      </c>
      <c r="H14" s="1">
        <v>8</v>
      </c>
      <c r="I14" s="1">
        <v>9</v>
      </c>
      <c r="J14" s="1">
        <v>10</v>
      </c>
      <c r="K14" s="1">
        <v>11</v>
      </c>
      <c r="L14" s="1">
        <v>12</v>
      </c>
      <c r="M14" s="1">
        <v>13</v>
      </c>
      <c r="N14" s="1">
        <v>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O15:T28"/>
  <sheetViews>
    <sheetView tabSelected="1" topLeftCell="C7" workbookViewId="0">
      <selection activeCell="O28" sqref="O28"/>
    </sheetView>
  </sheetViews>
  <sheetFormatPr defaultRowHeight="16.2"/>
  <sheetData>
    <row r="15" spans="20:20">
      <c r="T15" s="2"/>
    </row>
    <row r="27" spans="15:17">
      <c r="O27">
        <f>O28/Q28</f>
        <v>21.333333333333332</v>
      </c>
      <c r="P27">
        <v>32</v>
      </c>
    </row>
    <row r="28" spans="15:17">
      <c r="O28">
        <v>64</v>
      </c>
      <c r="P28">
        <v>96</v>
      </c>
      <c r="Q28">
        <f>P28/P27</f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ambient</vt:lpstr>
      <vt:lpstr>icons.png</vt:lpstr>
      <vt:lpstr>portraits.png</vt:lpstr>
      <vt:lpstr>cursors.png</vt:lpstr>
      <vt:lpstr>圖示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2025-05-31T16:16:35Z</dcterms:modified>
</cp:coreProperties>
</file>